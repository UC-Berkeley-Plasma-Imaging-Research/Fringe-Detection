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RnvHpqAkeqScjpuEKsc153i7vjC42zc68J9kiv5IYXg="/>
    </ext>
  </extLst>
</workbook>
</file>

<file path=xl/sharedStrings.xml><?xml version="1.0" encoding="utf-8"?>
<sst xmlns="http://schemas.openxmlformats.org/spreadsheetml/2006/main" count="80" uniqueCount="56">
  <si>
    <t>FoilMHD</t>
  </si>
  <si>
    <t>Date: 4/27/22</t>
  </si>
  <si>
    <t>fiducial on late shots show timing 500ps off</t>
  </si>
  <si>
    <t>Drive Beams</t>
  </si>
  <si>
    <t>Proton Beams</t>
  </si>
  <si>
    <t>4w probe beam</t>
  </si>
  <si>
    <t>XRFC Start time</t>
  </si>
  <si>
    <t>SFC</t>
  </si>
  <si>
    <t>Shot seq #</t>
  </si>
  <si>
    <t>Shot #</t>
  </si>
  <si>
    <t>Time</t>
  </si>
  <si>
    <t>RID</t>
  </si>
  <si>
    <t>Target</t>
  </si>
  <si>
    <t>Shot descript</t>
  </si>
  <si>
    <t>Notes</t>
  </si>
  <si>
    <t>DPD</t>
  </si>
  <si>
    <t>Pulse length</t>
  </si>
  <si>
    <t>Beam Delay</t>
  </si>
  <si>
    <t>Total Energy</t>
  </si>
  <si>
    <t>Intensity</t>
  </si>
  <si>
    <t>BL</t>
  </si>
  <si>
    <t>SL</t>
  </si>
  <si>
    <t>Probe time</t>
  </si>
  <si>
    <t>Proton foil ID</t>
  </si>
  <si>
    <t>Filters</t>
  </si>
  <si>
    <t>pinhole size</t>
  </si>
  <si>
    <t>Trigger time</t>
  </si>
  <si>
    <t>1st</t>
  </si>
  <si>
    <t>2nd</t>
  </si>
  <si>
    <t>3rd</t>
  </si>
  <si>
    <t>4th</t>
  </si>
  <si>
    <t>Relative time</t>
  </si>
  <si>
    <t>relative time</t>
  </si>
  <si>
    <t>5/50 cu/al</t>
  </si>
  <si>
    <t>4 ns time</t>
  </si>
  <si>
    <t>protons low energy, filaments in probe</t>
  </si>
  <si>
    <t>bc</t>
  </si>
  <si>
    <t>double intensity</t>
  </si>
  <si>
    <t>protons low</t>
  </si>
  <si>
    <t>2/5 ch/cu</t>
  </si>
  <si>
    <t>plastic layer</t>
  </si>
  <si>
    <t>5/25 cu/al</t>
  </si>
  <si>
    <t>2 ns time</t>
  </si>
  <si>
    <t>x2 intensity</t>
  </si>
  <si>
    <t>flat field</t>
  </si>
  <si>
    <t>5/25 cu/al SMALL</t>
  </si>
  <si>
    <t>small target</t>
  </si>
  <si>
    <t>flat field, more filter</t>
  </si>
  <si>
    <t>none</t>
  </si>
  <si>
    <t>stepped pulse</t>
  </si>
  <si>
    <t>ALL SAME</t>
  </si>
  <si>
    <t>8 plus 0.008" be</t>
  </si>
  <si>
    <t>Beam intensity</t>
  </si>
  <si>
    <t>energy</t>
  </si>
  <si>
    <t>pulse length</t>
  </si>
  <si>
    <t>spot size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</si>
</sst>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2.0"/>
      <color theme="1"/>
      <name val="Arial"/>
    </font>
    <font>
      <sz val="12.0"/>
      <color rgb="FF000000"/>
      <name val="Arial"/>
    </font>
    <font>
      <sz val="18.0"/>
      <color theme="1"/>
      <name val="Arial"/>
    </font>
  </fonts>
  <fills count="2">
    <fill>
      <patternFill patternType="none"/>
    </fill>
    <fill>
      <patternFill patternType="lightGray"/>
    </fill>
  </fills>
  <borders count="28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Alignment="1" applyBorder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3" fillId="0" fontId="2" numFmtId="0" xfId="0" applyAlignment="1" applyBorder="1" applyFont="1">
      <alignment horizontal="center"/>
    </xf>
    <xf borderId="8" fillId="0" fontId="3" numFmtId="0" xfId="0" applyBorder="1" applyFont="1"/>
    <xf borderId="6" fillId="0" fontId="2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20" xfId="0" applyBorder="1" applyFont="1" applyNumberFormat="1"/>
    <xf borderId="19" fillId="0" fontId="4" numFmtId="0" xfId="0" applyAlignment="1" applyBorder="1" applyFont="1">
      <alignment horizontal="left" readingOrder="1" shrinkToFit="0" vertical="center" wrapText="1"/>
    </xf>
    <xf borderId="20" fillId="0" fontId="2" numFmtId="0" xfId="0" applyBorder="1" applyFont="1"/>
    <xf borderId="18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19" fillId="0" fontId="2" numFmtId="0" xfId="0" applyAlignment="1" applyBorder="1" applyFont="1">
      <alignment readingOrder="0"/>
    </xf>
    <xf borderId="25" fillId="0" fontId="2" numFmtId="20" xfId="0" applyBorder="1" applyFont="1" applyNumberFormat="1"/>
    <xf borderId="19" fillId="0" fontId="5" numFmtId="0" xfId="0" applyAlignment="1" applyBorder="1" applyFont="1">
      <alignment horizontal="left" readingOrder="1" shrinkToFit="0" vertical="center" wrapText="1"/>
    </xf>
    <xf borderId="25" fillId="0" fontId="2" numFmtId="0" xfId="0" applyBorder="1" applyFont="1"/>
    <xf borderId="26" fillId="0" fontId="2" numFmtId="0" xfId="0" applyBorder="1" applyFont="1"/>
    <xf borderId="19" fillId="0" fontId="2" numFmtId="0" xfId="0" applyBorder="1" applyFont="1"/>
    <xf borderId="27" fillId="0" fontId="2" numFmtId="0" xfId="0" applyBorder="1" applyFont="1"/>
    <xf borderId="20" fillId="0" fontId="2" numFmtId="16" xfId="0" applyBorder="1" applyFont="1" applyNumberFormat="1"/>
    <xf borderId="19" fillId="0" fontId="6" numFmtId="0" xfId="0" applyAlignment="1" applyBorder="1" applyFont="1">
      <alignment shrinkToFit="0" vertical="top" wrapText="1"/>
    </xf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4.29"/>
    <col customWidth="1" min="2" max="2" width="6.14"/>
    <col customWidth="1" min="3" max="3" width="7.14"/>
    <col customWidth="1" min="4" max="4" width="7.43"/>
    <col customWidth="1" min="5" max="5" width="16.14"/>
    <col customWidth="1" min="6" max="6" width="12.0"/>
    <col customWidth="1" min="7" max="7" width="14.86"/>
    <col customWidth="1" min="8" max="8" width="5.86"/>
    <col customWidth="1" min="9" max="9" width="10.86"/>
    <col customWidth="1" min="10" max="10" width="11.57"/>
    <col customWidth="1" min="11" max="12" width="7.43"/>
    <col customWidth="1" min="13" max="13" width="7.86"/>
    <col customWidth="1" min="14" max="14" width="9.43"/>
    <col customWidth="1" min="15" max="15" width="7.14"/>
    <col customWidth="1" min="16" max="17" width="11.43"/>
    <col customWidth="1" min="18" max="18" width="10.57"/>
    <col customWidth="1" min="19" max="19" width="7.57"/>
    <col customWidth="1" min="20" max="20" width="8.57"/>
    <col customWidth="1" min="21" max="21" width="9.86"/>
    <col customWidth="1" min="22" max="22" width="7.43"/>
    <col customWidth="1" min="23" max="25" width="8.71"/>
    <col customWidth="1" min="26" max="26" width="14.0"/>
    <col customWidth="1" min="27" max="27" width="8.86"/>
    <col customWidth="1" min="28" max="28" width="8.71"/>
    <col customWidth="1" min="29" max="30" width="3.57"/>
    <col customWidth="1" min="31" max="37" width="8.71"/>
  </cols>
  <sheetData>
    <row r="1" ht="14.25" customHeight="1">
      <c r="A1" s="1" t="s">
        <v>0</v>
      </c>
      <c r="C1" s="2" t="s">
        <v>1</v>
      </c>
      <c r="E1" s="2"/>
      <c r="F1" s="2"/>
    </row>
    <row r="2" ht="14.25" customHeight="1">
      <c r="G2" s="1" t="s">
        <v>2</v>
      </c>
    </row>
    <row r="3" ht="14.25" customHeight="1">
      <c r="A3" s="3"/>
      <c r="B3" s="4"/>
      <c r="C3" s="4"/>
      <c r="D3" s="4"/>
      <c r="E3" s="5"/>
      <c r="F3" s="5"/>
      <c r="G3" s="6"/>
      <c r="H3" s="7" t="s">
        <v>3</v>
      </c>
      <c r="I3" s="8"/>
      <c r="J3" s="8"/>
      <c r="K3" s="8"/>
      <c r="L3" s="8"/>
      <c r="M3" s="8"/>
      <c r="N3" s="9"/>
      <c r="O3" s="10" t="s">
        <v>4</v>
      </c>
      <c r="P3" s="8"/>
      <c r="Q3" s="8"/>
      <c r="R3" s="11"/>
      <c r="S3" s="7" t="s">
        <v>5</v>
      </c>
      <c r="T3" s="8"/>
      <c r="U3" s="8"/>
      <c r="V3" s="8"/>
      <c r="W3" s="9"/>
      <c r="X3" s="7" t="s">
        <v>6</v>
      </c>
      <c r="Y3" s="8"/>
      <c r="Z3" s="8"/>
      <c r="AA3" s="8"/>
      <c r="AB3" s="8"/>
      <c r="AC3" s="8"/>
      <c r="AD3" s="8"/>
      <c r="AE3" s="11"/>
      <c r="AF3" s="12" t="s">
        <v>7</v>
      </c>
      <c r="AG3" s="8"/>
      <c r="AH3" s="8"/>
      <c r="AI3" s="8"/>
      <c r="AJ3" s="8"/>
      <c r="AK3" s="11"/>
    </row>
    <row r="4" ht="14.25" customHeight="1">
      <c r="A4" s="13" t="s">
        <v>8</v>
      </c>
      <c r="B4" s="14" t="s">
        <v>9</v>
      </c>
      <c r="C4" s="14" t="s">
        <v>10</v>
      </c>
      <c r="D4" s="15" t="s">
        <v>11</v>
      </c>
      <c r="E4" s="16" t="s">
        <v>12</v>
      </c>
      <c r="F4" s="16" t="s">
        <v>13</v>
      </c>
      <c r="G4" s="17" t="s">
        <v>14</v>
      </c>
      <c r="H4" s="13" t="s">
        <v>15</v>
      </c>
      <c r="I4" s="14" t="s">
        <v>16</v>
      </c>
      <c r="J4" s="14" t="s">
        <v>17</v>
      </c>
      <c r="K4" s="16">
        <v>3.0</v>
      </c>
      <c r="L4" s="16">
        <v>4.0</v>
      </c>
      <c r="M4" s="17" t="s">
        <v>18</v>
      </c>
      <c r="N4" s="18" t="s">
        <v>19</v>
      </c>
      <c r="O4" s="13" t="s">
        <v>16</v>
      </c>
      <c r="P4" s="14" t="s">
        <v>20</v>
      </c>
      <c r="Q4" s="16" t="s">
        <v>21</v>
      </c>
      <c r="R4" s="16" t="s">
        <v>10</v>
      </c>
      <c r="S4" s="16" t="s">
        <v>22</v>
      </c>
      <c r="T4" s="16"/>
      <c r="U4" s="19"/>
      <c r="V4" s="14" t="s">
        <v>23</v>
      </c>
      <c r="W4" s="16" t="s">
        <v>14</v>
      </c>
      <c r="X4" s="13" t="s">
        <v>24</v>
      </c>
      <c r="Y4" s="14" t="s">
        <v>25</v>
      </c>
      <c r="Z4" s="14" t="s">
        <v>26</v>
      </c>
      <c r="AA4" s="14" t="s">
        <v>27</v>
      </c>
      <c r="AB4" s="14" t="s">
        <v>28</v>
      </c>
      <c r="AC4" s="14" t="s">
        <v>29</v>
      </c>
      <c r="AD4" s="14" t="s">
        <v>30</v>
      </c>
      <c r="AE4" s="17" t="s">
        <v>31</v>
      </c>
      <c r="AF4" s="19" t="s">
        <v>26</v>
      </c>
      <c r="AG4" s="14" t="s">
        <v>27</v>
      </c>
      <c r="AH4" s="14" t="s">
        <v>28</v>
      </c>
      <c r="AI4" s="14" t="s">
        <v>29</v>
      </c>
      <c r="AJ4" s="14" t="s">
        <v>30</v>
      </c>
      <c r="AK4" s="17" t="s">
        <v>32</v>
      </c>
    </row>
    <row r="5" ht="14.25" customHeight="1">
      <c r="A5" s="20">
        <v>1.0</v>
      </c>
      <c r="B5" s="21">
        <v>36749.0</v>
      </c>
      <c r="C5" s="22">
        <v>0.42083333333333334</v>
      </c>
      <c r="D5" s="23">
        <v>85976.0</v>
      </c>
      <c r="E5" s="24" t="s">
        <v>33</v>
      </c>
      <c r="F5" s="25" t="s">
        <v>34</v>
      </c>
      <c r="G5" s="26" t="s">
        <v>35</v>
      </c>
      <c r="H5" s="20">
        <v>750.0</v>
      </c>
      <c r="I5" s="21">
        <v>6.0</v>
      </c>
      <c r="J5" s="21">
        <v>-4.0</v>
      </c>
      <c r="K5" s="25">
        <v>3159.9</v>
      </c>
      <c r="L5" s="25">
        <v>3289.8</v>
      </c>
      <c r="M5" s="26">
        <f t="shared" ref="M5:M11" si="1">SUM(K5:L5)</f>
        <v>6449.7</v>
      </c>
      <c r="N5" s="27">
        <f t="shared" ref="N5:N11" si="2">M5/(I5*0.000000001)/(PI()*(H5*0.0001/2)^2)</f>
        <v>243318906420100</v>
      </c>
      <c r="O5" s="20" t="s">
        <v>36</v>
      </c>
      <c r="P5" s="21">
        <v>167.8</v>
      </c>
      <c r="Q5" s="25">
        <v>268.0</v>
      </c>
      <c r="R5" s="25">
        <v>0.0</v>
      </c>
      <c r="S5" s="25"/>
      <c r="T5" s="25"/>
      <c r="U5" s="28"/>
      <c r="V5" s="21"/>
      <c r="W5" s="25"/>
      <c r="X5" s="20">
        <v>8.0</v>
      </c>
      <c r="Y5" s="21">
        <v>6.0</v>
      </c>
      <c r="Z5" s="21">
        <v>-3.0</v>
      </c>
      <c r="AA5" s="21">
        <v>0.0</v>
      </c>
      <c r="AB5" s="21">
        <v>0.0</v>
      </c>
      <c r="AC5" s="21">
        <v>1.0</v>
      </c>
      <c r="AD5" s="21">
        <v>1.0</v>
      </c>
      <c r="AE5" s="26">
        <f>Z5-J5</f>
        <v>1</v>
      </c>
      <c r="AF5" s="3">
        <v>-4.0</v>
      </c>
      <c r="AG5" s="4">
        <v>0.0</v>
      </c>
      <c r="AH5" s="4">
        <v>1.0</v>
      </c>
      <c r="AI5" s="4">
        <v>2.0</v>
      </c>
      <c r="AJ5" s="4">
        <v>3.0</v>
      </c>
      <c r="AK5" s="6">
        <f>AF5-J5</f>
        <v>0</v>
      </c>
    </row>
    <row r="6" ht="14.25" customHeight="1">
      <c r="A6" s="29">
        <v>2.0</v>
      </c>
      <c r="B6" s="30">
        <v>36751.0</v>
      </c>
      <c r="C6" s="31">
        <v>0.49444444444444446</v>
      </c>
      <c r="D6" s="32">
        <v>87030.0</v>
      </c>
      <c r="E6" s="24" t="s">
        <v>33</v>
      </c>
      <c r="F6" s="33" t="s">
        <v>37</v>
      </c>
      <c r="G6" s="34" t="s">
        <v>38</v>
      </c>
      <c r="H6" s="20">
        <v>750.0</v>
      </c>
      <c r="I6" s="21">
        <v>1.0</v>
      </c>
      <c r="J6" s="35">
        <v>-1.0</v>
      </c>
      <c r="K6" s="33">
        <v>1193.4</v>
      </c>
      <c r="L6" s="33">
        <v>1199.2</v>
      </c>
      <c r="M6" s="26">
        <f t="shared" si="1"/>
        <v>2392.6</v>
      </c>
      <c r="N6" s="27">
        <f t="shared" si="2"/>
        <v>541573855063707</v>
      </c>
      <c r="O6" s="20" t="s">
        <v>36</v>
      </c>
      <c r="P6" s="35">
        <v>329.4</v>
      </c>
      <c r="Q6" s="33">
        <v>502.5</v>
      </c>
      <c r="R6" s="33">
        <v>0.0</v>
      </c>
      <c r="S6" s="33"/>
      <c r="T6" s="33"/>
      <c r="U6" s="36"/>
      <c r="V6" s="35"/>
      <c r="W6" s="33"/>
      <c r="X6" s="29"/>
      <c r="Y6" s="35"/>
      <c r="Z6" s="35"/>
      <c r="AA6" s="35"/>
      <c r="AB6" s="35"/>
      <c r="AC6" s="35"/>
      <c r="AD6" s="35"/>
      <c r="AE6" s="34"/>
      <c r="AF6" s="29"/>
      <c r="AG6" s="35"/>
      <c r="AH6" s="35"/>
      <c r="AI6" s="35"/>
      <c r="AJ6" s="35"/>
      <c r="AK6" s="34"/>
    </row>
    <row r="7" ht="14.25" customHeight="1">
      <c r="A7" s="29">
        <v>3.0</v>
      </c>
      <c r="B7" s="35">
        <v>36754.0</v>
      </c>
      <c r="C7" s="31">
        <v>0.5777777777777778</v>
      </c>
      <c r="D7" s="32">
        <v>87031.0</v>
      </c>
      <c r="E7" s="24" t="s">
        <v>39</v>
      </c>
      <c r="F7" s="33" t="s">
        <v>40</v>
      </c>
      <c r="G7" s="34"/>
      <c r="H7" s="20">
        <v>750.0</v>
      </c>
      <c r="I7" s="21">
        <v>1.0</v>
      </c>
      <c r="J7" s="35">
        <v>-1.0</v>
      </c>
      <c r="K7" s="33">
        <v>1189.2</v>
      </c>
      <c r="L7" s="33">
        <v>1195.6</v>
      </c>
      <c r="M7" s="26">
        <f t="shared" si="1"/>
        <v>2384.8</v>
      </c>
      <c r="N7" s="27">
        <f t="shared" si="2"/>
        <v>539808296228341</v>
      </c>
      <c r="O7" s="20" t="s">
        <v>36</v>
      </c>
      <c r="P7" s="35">
        <v>324.0</v>
      </c>
      <c r="Q7" s="33">
        <v>503.0</v>
      </c>
      <c r="R7" s="33">
        <v>0.0</v>
      </c>
      <c r="S7" s="33">
        <v>0.0</v>
      </c>
      <c r="T7" s="33"/>
      <c r="U7" s="36"/>
      <c r="V7" s="35"/>
      <c r="W7" s="33"/>
      <c r="X7" s="29"/>
      <c r="Y7" s="35"/>
      <c r="Z7" s="35"/>
      <c r="AA7" s="35"/>
      <c r="AB7" s="35"/>
      <c r="AC7" s="35"/>
      <c r="AD7" s="35"/>
      <c r="AE7" s="34"/>
      <c r="AF7" s="29"/>
      <c r="AG7" s="35"/>
      <c r="AH7" s="35"/>
      <c r="AI7" s="35"/>
      <c r="AJ7" s="35"/>
      <c r="AK7" s="34"/>
    </row>
    <row r="8" ht="14.25" customHeight="1">
      <c r="A8" s="29">
        <v>4.0</v>
      </c>
      <c r="B8" s="35">
        <v>36755.0</v>
      </c>
      <c r="C8" s="31">
        <v>0.6458333333333334</v>
      </c>
      <c r="D8" s="32">
        <v>87032.0</v>
      </c>
      <c r="E8" s="24" t="s">
        <v>41</v>
      </c>
      <c r="F8" s="33" t="s">
        <v>42</v>
      </c>
      <c r="G8" s="34"/>
      <c r="H8" s="20">
        <v>750.0</v>
      </c>
      <c r="I8" s="21">
        <v>6.0</v>
      </c>
      <c r="J8" s="35">
        <v>-2.0</v>
      </c>
      <c r="K8" s="33">
        <v>3202.6</v>
      </c>
      <c r="L8" s="33">
        <v>3313.9</v>
      </c>
      <c r="M8" s="26">
        <f t="shared" si="1"/>
        <v>6516.5</v>
      </c>
      <c r="N8" s="27">
        <f t="shared" si="2"/>
        <v>245838977578272</v>
      </c>
      <c r="O8" s="20" t="s">
        <v>36</v>
      </c>
      <c r="P8" s="35">
        <v>327.5</v>
      </c>
      <c r="Q8" s="33">
        <v>494.4</v>
      </c>
      <c r="R8" s="33">
        <v>0.0</v>
      </c>
      <c r="S8" s="33">
        <v>0.0</v>
      </c>
      <c r="T8" s="33"/>
      <c r="U8" s="36"/>
      <c r="V8" s="35"/>
      <c r="W8" s="33"/>
      <c r="X8" s="29"/>
      <c r="Y8" s="35"/>
      <c r="Z8" s="35"/>
      <c r="AA8" s="35"/>
      <c r="AB8" s="35"/>
      <c r="AC8" s="35"/>
      <c r="AD8" s="35"/>
      <c r="AE8" s="34"/>
      <c r="AF8" s="29"/>
      <c r="AG8" s="35"/>
      <c r="AH8" s="35"/>
      <c r="AI8" s="35"/>
      <c r="AJ8" s="35"/>
      <c r="AK8" s="34"/>
    </row>
    <row r="9" ht="14.25" customHeight="1">
      <c r="A9" s="29">
        <v>5.0</v>
      </c>
      <c r="B9" s="35">
        <v>36756.0</v>
      </c>
      <c r="C9" s="31">
        <v>0.7138888888888889</v>
      </c>
      <c r="D9" s="32">
        <v>87116.0</v>
      </c>
      <c r="E9" s="37" t="s">
        <v>41</v>
      </c>
      <c r="F9" s="33" t="s">
        <v>43</v>
      </c>
      <c r="G9" s="34"/>
      <c r="H9" s="20">
        <v>750.0</v>
      </c>
      <c r="I9" s="21">
        <v>1.0</v>
      </c>
      <c r="J9" s="35">
        <v>-1.0</v>
      </c>
      <c r="K9" s="33">
        <v>1165.0</v>
      </c>
      <c r="L9" s="33">
        <v>1212.5</v>
      </c>
      <c r="M9" s="26">
        <f t="shared" si="1"/>
        <v>2377.5</v>
      </c>
      <c r="N9" s="27">
        <f t="shared" si="2"/>
        <v>538155914241395</v>
      </c>
      <c r="O9" s="20" t="s">
        <v>36</v>
      </c>
      <c r="P9" s="35">
        <v>332.1</v>
      </c>
      <c r="Q9" s="33">
        <v>509.5</v>
      </c>
      <c r="R9" s="33">
        <v>0.0</v>
      </c>
      <c r="S9" s="33">
        <v>0.5</v>
      </c>
      <c r="T9" s="33"/>
      <c r="U9" s="36"/>
      <c r="V9" s="35"/>
      <c r="W9" s="33"/>
      <c r="X9" s="29"/>
      <c r="Y9" s="35"/>
      <c r="Z9" s="35"/>
      <c r="AA9" s="35"/>
      <c r="AB9" s="35"/>
      <c r="AC9" s="35"/>
      <c r="AD9" s="35"/>
      <c r="AE9" s="34"/>
      <c r="AF9" s="29"/>
      <c r="AG9" s="35"/>
      <c r="AH9" s="35"/>
      <c r="AI9" s="35"/>
      <c r="AJ9" s="35"/>
      <c r="AK9" s="34"/>
    </row>
    <row r="10" ht="14.25" customHeight="1">
      <c r="A10" s="29">
        <v>6.0</v>
      </c>
      <c r="B10" s="35">
        <v>36757.0</v>
      </c>
      <c r="C10" s="31">
        <v>0.7875</v>
      </c>
      <c r="D10" s="32">
        <v>87134.0</v>
      </c>
      <c r="E10" s="24" t="s">
        <v>33</v>
      </c>
      <c r="F10" s="33" t="s">
        <v>34</v>
      </c>
      <c r="G10" s="34" t="s">
        <v>44</v>
      </c>
      <c r="H10" s="20">
        <v>750.0</v>
      </c>
      <c r="I10" s="21">
        <v>6.0</v>
      </c>
      <c r="J10" s="35">
        <v>-4.0</v>
      </c>
      <c r="K10" s="33">
        <v>3132.3</v>
      </c>
      <c r="L10" s="33">
        <v>3310.6</v>
      </c>
      <c r="M10" s="26">
        <f t="shared" si="1"/>
        <v>6442.9</v>
      </c>
      <c r="N10" s="27">
        <f t="shared" si="2"/>
        <v>243062372230346</v>
      </c>
      <c r="O10" s="20" t="s">
        <v>36</v>
      </c>
      <c r="P10" s="35">
        <v>335.6</v>
      </c>
      <c r="Q10" s="33">
        <v>505.5</v>
      </c>
      <c r="R10" s="33">
        <v>0.0</v>
      </c>
      <c r="S10" s="33">
        <v>2.0</v>
      </c>
      <c r="T10" s="33"/>
      <c r="U10" s="36"/>
      <c r="V10" s="35"/>
      <c r="W10" s="33"/>
      <c r="X10" s="29"/>
      <c r="Y10" s="35"/>
      <c r="Z10" s="35"/>
      <c r="AA10" s="35"/>
      <c r="AB10" s="35"/>
      <c r="AC10" s="35"/>
      <c r="AD10" s="35"/>
      <c r="AE10" s="34"/>
      <c r="AF10" s="29"/>
      <c r="AG10" s="35"/>
      <c r="AH10" s="35"/>
      <c r="AI10" s="35"/>
      <c r="AJ10" s="35"/>
      <c r="AK10" s="34"/>
    </row>
    <row r="11" ht="14.25" customHeight="1">
      <c r="A11" s="29">
        <v>7.0</v>
      </c>
      <c r="B11" s="35">
        <v>36759.0</v>
      </c>
      <c r="C11" s="31">
        <v>0.8979166666666667</v>
      </c>
      <c r="D11" s="32">
        <v>86941.0</v>
      </c>
      <c r="E11" s="24" t="s">
        <v>45</v>
      </c>
      <c r="F11" s="33" t="s">
        <v>46</v>
      </c>
      <c r="G11" s="34" t="s">
        <v>47</v>
      </c>
      <c r="H11" s="20">
        <v>750.0</v>
      </c>
      <c r="I11" s="21">
        <v>6.0</v>
      </c>
      <c r="J11" s="35">
        <v>-2.0</v>
      </c>
      <c r="K11" s="33">
        <v>3127.8</v>
      </c>
      <c r="L11" s="33">
        <v>3322.7</v>
      </c>
      <c r="M11" s="26">
        <f t="shared" si="1"/>
        <v>6450.5</v>
      </c>
      <c r="N11" s="27">
        <f t="shared" si="2"/>
        <v>243349086913012</v>
      </c>
      <c r="O11" s="20" t="s">
        <v>36</v>
      </c>
      <c r="P11" s="35">
        <v>333.2</v>
      </c>
      <c r="Q11" s="33">
        <v>502.2</v>
      </c>
      <c r="R11" s="33">
        <v>0.0</v>
      </c>
      <c r="S11" s="33" t="s">
        <v>48</v>
      </c>
      <c r="T11" s="33"/>
      <c r="U11" s="36"/>
      <c r="V11" s="35"/>
      <c r="W11" s="33"/>
      <c r="X11" s="29"/>
      <c r="Y11" s="35"/>
      <c r="Z11" s="35"/>
      <c r="AA11" s="35"/>
      <c r="AB11" s="35"/>
      <c r="AC11" s="35"/>
      <c r="AD11" s="35"/>
      <c r="AE11" s="34"/>
      <c r="AF11" s="29"/>
      <c r="AG11" s="35"/>
      <c r="AH11" s="35"/>
      <c r="AI11" s="35"/>
      <c r="AJ11" s="35"/>
      <c r="AK11" s="34"/>
    </row>
    <row r="12" ht="14.25" customHeight="1">
      <c r="A12" s="29"/>
      <c r="B12" s="35"/>
      <c r="C12" s="31"/>
      <c r="D12" s="32"/>
      <c r="E12" s="24"/>
      <c r="F12" s="33"/>
      <c r="G12" s="34"/>
      <c r="H12" s="20"/>
      <c r="I12" s="21"/>
      <c r="J12" s="35"/>
      <c r="K12" s="33"/>
      <c r="L12" s="33"/>
      <c r="M12" s="26"/>
      <c r="N12" s="27"/>
      <c r="O12" s="20"/>
      <c r="P12" s="35"/>
      <c r="Q12" s="33"/>
      <c r="R12" s="33"/>
      <c r="S12" s="33"/>
      <c r="T12" s="33"/>
      <c r="U12" s="36"/>
      <c r="V12" s="35"/>
      <c r="W12" s="33"/>
      <c r="X12" s="29"/>
      <c r="Y12" s="35"/>
      <c r="Z12" s="35"/>
      <c r="AA12" s="35"/>
      <c r="AB12" s="35"/>
      <c r="AC12" s="35"/>
      <c r="AD12" s="35"/>
      <c r="AE12" s="34"/>
      <c r="AF12" s="29"/>
      <c r="AG12" s="35"/>
      <c r="AH12" s="35"/>
      <c r="AI12" s="35"/>
      <c r="AJ12" s="35"/>
      <c r="AK12" s="34"/>
    </row>
    <row r="13" ht="14.25" customHeight="1">
      <c r="A13" s="29"/>
      <c r="B13" s="35"/>
      <c r="C13" s="31"/>
      <c r="D13" s="32"/>
      <c r="E13" s="24"/>
      <c r="F13" s="33"/>
      <c r="G13" s="34"/>
      <c r="H13" s="20"/>
      <c r="I13" s="21"/>
      <c r="J13" s="35"/>
      <c r="K13" s="33"/>
      <c r="L13" s="33"/>
      <c r="M13" s="26"/>
      <c r="N13" s="27"/>
      <c r="O13" s="20"/>
      <c r="P13" s="35"/>
      <c r="Q13" s="33"/>
      <c r="R13" s="33"/>
      <c r="S13" s="33"/>
      <c r="T13" s="33"/>
      <c r="U13" s="36"/>
      <c r="V13" s="35"/>
      <c r="W13" s="33"/>
      <c r="X13" s="29"/>
      <c r="Y13" s="35"/>
      <c r="Z13" s="35"/>
      <c r="AA13" s="35"/>
      <c r="AB13" s="35"/>
      <c r="AC13" s="35"/>
      <c r="AD13" s="35"/>
      <c r="AE13" s="34"/>
      <c r="AF13" s="29"/>
      <c r="AG13" s="35"/>
      <c r="AH13" s="35"/>
      <c r="AI13" s="35"/>
      <c r="AJ13" s="35"/>
      <c r="AK13" s="34"/>
    </row>
    <row r="14" ht="14.25" customHeight="1">
      <c r="A14" s="29"/>
      <c r="B14" s="35"/>
      <c r="C14" s="31"/>
      <c r="D14" s="32">
        <v>86943.0</v>
      </c>
      <c r="E14" s="24" t="s">
        <v>41</v>
      </c>
      <c r="F14" s="33" t="s">
        <v>49</v>
      </c>
      <c r="G14" s="34"/>
      <c r="H14" s="20">
        <v>750.0</v>
      </c>
      <c r="I14" s="21">
        <v>2.0</v>
      </c>
      <c r="J14" s="35">
        <v>-2.0</v>
      </c>
      <c r="K14" s="33"/>
      <c r="L14" s="33"/>
      <c r="M14" s="26">
        <f t="shared" ref="M14:M18" si="3">SUM(K14:L14)</f>
        <v>0</v>
      </c>
      <c r="N14" s="27">
        <f t="shared" ref="N14:N18" si="4">M14/(I14*0.000000001)/(PI()*(H14*0.0001/2)^2)</f>
        <v>0</v>
      </c>
      <c r="O14" s="20" t="s">
        <v>36</v>
      </c>
      <c r="P14" s="35"/>
      <c r="Q14" s="33"/>
      <c r="R14" s="33">
        <v>0.0</v>
      </c>
      <c r="S14" s="33"/>
      <c r="T14" s="33"/>
      <c r="U14" s="36"/>
      <c r="V14" s="35"/>
      <c r="W14" s="33"/>
      <c r="X14" s="29">
        <v>8.0</v>
      </c>
      <c r="Y14" s="35">
        <v>6.0</v>
      </c>
      <c r="Z14" s="35">
        <v>-1.5</v>
      </c>
      <c r="AA14" s="35">
        <v>0.0</v>
      </c>
      <c r="AB14" s="35">
        <v>0.0</v>
      </c>
      <c r="AC14" s="35">
        <v>1.0</v>
      </c>
      <c r="AD14" s="35">
        <v>1.0</v>
      </c>
      <c r="AE14" s="34">
        <f t="shared" ref="AE14:AE21" si="5">Z14-J14</f>
        <v>0.5</v>
      </c>
      <c r="AF14" s="29">
        <v>-2.0</v>
      </c>
      <c r="AG14" s="35">
        <v>0.0</v>
      </c>
      <c r="AH14" s="35">
        <v>0.5</v>
      </c>
      <c r="AI14" s="35">
        <v>1.0</v>
      </c>
      <c r="AJ14" s="35">
        <v>1.5</v>
      </c>
      <c r="AK14" s="34">
        <f t="shared" ref="AK14:AK20" si="6">AF14-J14</f>
        <v>0</v>
      </c>
    </row>
    <row r="15" ht="14.25" customHeight="1">
      <c r="A15" s="29"/>
      <c r="B15" s="35"/>
      <c r="C15" s="31"/>
      <c r="D15" s="32">
        <v>87033.0</v>
      </c>
      <c r="E15" s="24"/>
      <c r="F15" s="33"/>
      <c r="G15" s="34"/>
      <c r="H15" s="20">
        <v>750.0</v>
      </c>
      <c r="I15" s="21">
        <v>1.0</v>
      </c>
      <c r="J15" s="35">
        <v>-1.0</v>
      </c>
      <c r="K15" s="33"/>
      <c r="L15" s="33"/>
      <c r="M15" s="26">
        <f t="shared" si="3"/>
        <v>0</v>
      </c>
      <c r="N15" s="27">
        <f t="shared" si="4"/>
        <v>0</v>
      </c>
      <c r="O15" s="20" t="s">
        <v>36</v>
      </c>
      <c r="P15" s="35"/>
      <c r="Q15" s="33"/>
      <c r="R15" s="33">
        <v>0.0</v>
      </c>
      <c r="S15" s="33"/>
      <c r="T15" s="33"/>
      <c r="U15" s="36"/>
      <c r="V15" s="35"/>
      <c r="W15" s="33"/>
      <c r="X15" s="29" t="s">
        <v>50</v>
      </c>
      <c r="Y15" s="35">
        <v>6.0</v>
      </c>
      <c r="Z15" s="35">
        <v>-0.5</v>
      </c>
      <c r="AA15" s="35">
        <v>0.0</v>
      </c>
      <c r="AB15" s="35">
        <v>0.0</v>
      </c>
      <c r="AC15" s="35">
        <v>0.0</v>
      </c>
      <c r="AD15" s="35">
        <v>0.0</v>
      </c>
      <c r="AE15" s="34">
        <f t="shared" si="5"/>
        <v>0.5</v>
      </c>
      <c r="AF15" s="29">
        <v>-1.0</v>
      </c>
      <c r="AG15" s="35">
        <v>0.0</v>
      </c>
      <c r="AH15" s="35">
        <v>0.5</v>
      </c>
      <c r="AI15" s="35">
        <v>1.0</v>
      </c>
      <c r="AJ15" s="35">
        <v>1.5</v>
      </c>
      <c r="AK15" s="34">
        <f t="shared" si="6"/>
        <v>0</v>
      </c>
    </row>
    <row r="16" ht="14.25" customHeight="1">
      <c r="A16" s="29"/>
      <c r="B16" s="35"/>
      <c r="C16" s="31"/>
      <c r="D16" s="32">
        <v>87034.0</v>
      </c>
      <c r="E16" s="24"/>
      <c r="F16" s="33"/>
      <c r="G16" s="34"/>
      <c r="H16" s="20">
        <v>750.0</v>
      </c>
      <c r="I16" s="21">
        <v>2.0</v>
      </c>
      <c r="J16" s="35">
        <v>-2.0</v>
      </c>
      <c r="K16" s="33"/>
      <c r="L16" s="33"/>
      <c r="M16" s="26">
        <f t="shared" si="3"/>
        <v>0</v>
      </c>
      <c r="N16" s="27">
        <f t="shared" si="4"/>
        <v>0</v>
      </c>
      <c r="O16" s="20" t="s">
        <v>36</v>
      </c>
      <c r="P16" s="35"/>
      <c r="Q16" s="33"/>
      <c r="R16" s="33">
        <v>0.0</v>
      </c>
      <c r="S16" s="33"/>
      <c r="T16" s="33"/>
      <c r="U16" s="36"/>
      <c r="V16" s="35"/>
      <c r="W16" s="33"/>
      <c r="X16" s="29">
        <v>8.0</v>
      </c>
      <c r="Y16" s="35">
        <v>6.0</v>
      </c>
      <c r="Z16" s="35">
        <v>-1.0</v>
      </c>
      <c r="AA16" s="35">
        <v>0.0</v>
      </c>
      <c r="AB16" s="35">
        <v>0.0</v>
      </c>
      <c r="AC16" s="35">
        <v>1.0</v>
      </c>
      <c r="AD16" s="35">
        <v>1.0</v>
      </c>
      <c r="AE16" s="34">
        <f t="shared" si="5"/>
        <v>1</v>
      </c>
      <c r="AF16" s="29">
        <v>-1.5</v>
      </c>
      <c r="AG16" s="35">
        <v>0.0</v>
      </c>
      <c r="AH16" s="35">
        <v>0.5</v>
      </c>
      <c r="AI16" s="35">
        <v>1.0</v>
      </c>
      <c r="AJ16" s="35">
        <v>1.5</v>
      </c>
      <c r="AK16" s="34">
        <f t="shared" si="6"/>
        <v>0.5</v>
      </c>
    </row>
    <row r="17" ht="14.25" customHeight="1">
      <c r="A17" s="29"/>
      <c r="B17" s="35"/>
      <c r="C17" s="31"/>
      <c r="D17" s="38"/>
      <c r="E17" s="24"/>
      <c r="F17" s="33"/>
      <c r="G17" s="34"/>
      <c r="H17" s="20">
        <v>750.0</v>
      </c>
      <c r="I17" s="21">
        <v>2.0</v>
      </c>
      <c r="J17" s="35">
        <v>-2.0</v>
      </c>
      <c r="K17" s="33"/>
      <c r="L17" s="33"/>
      <c r="M17" s="26">
        <f t="shared" si="3"/>
        <v>0</v>
      </c>
      <c r="N17" s="27">
        <f t="shared" si="4"/>
        <v>0</v>
      </c>
      <c r="O17" s="20" t="s">
        <v>36</v>
      </c>
      <c r="P17" s="35"/>
      <c r="Q17" s="33"/>
      <c r="R17" s="33">
        <v>0.0</v>
      </c>
      <c r="S17" s="33"/>
      <c r="T17" s="33"/>
      <c r="U17" s="36"/>
      <c r="V17" s="35"/>
      <c r="W17" s="33"/>
      <c r="X17" s="29"/>
      <c r="Y17" s="35"/>
      <c r="Z17" s="35"/>
      <c r="AA17" s="35"/>
      <c r="AB17" s="35"/>
      <c r="AC17" s="35"/>
      <c r="AD17" s="35"/>
      <c r="AE17" s="34">
        <f t="shared" si="5"/>
        <v>2</v>
      </c>
      <c r="AF17" s="29"/>
      <c r="AG17" s="35"/>
      <c r="AH17" s="35"/>
      <c r="AI17" s="35"/>
      <c r="AJ17" s="35"/>
      <c r="AK17" s="34">
        <f t="shared" si="6"/>
        <v>2</v>
      </c>
    </row>
    <row r="18" ht="14.25" customHeight="1">
      <c r="A18" s="29"/>
      <c r="B18" s="35"/>
      <c r="C18" s="33"/>
      <c r="D18" s="32">
        <v>87035.0</v>
      </c>
      <c r="E18" s="24"/>
      <c r="F18" s="33"/>
      <c r="G18" s="34"/>
      <c r="H18" s="20">
        <v>750.0</v>
      </c>
      <c r="I18" s="35">
        <v>6.0</v>
      </c>
      <c r="J18" s="35">
        <v>-4.0</v>
      </c>
      <c r="K18" s="33"/>
      <c r="L18" s="33"/>
      <c r="M18" s="26">
        <f t="shared" si="3"/>
        <v>0</v>
      </c>
      <c r="N18" s="27">
        <f t="shared" si="4"/>
        <v>0</v>
      </c>
      <c r="O18" s="20" t="s">
        <v>36</v>
      </c>
      <c r="P18" s="35"/>
      <c r="Q18" s="33"/>
      <c r="R18" s="33">
        <v>0.0</v>
      </c>
      <c r="S18" s="33"/>
      <c r="T18" s="33"/>
      <c r="U18" s="36"/>
      <c r="V18" s="35"/>
      <c r="W18" s="33"/>
      <c r="X18" s="29" t="s">
        <v>51</v>
      </c>
      <c r="Y18" s="35">
        <v>6.0</v>
      </c>
      <c r="Z18" s="35">
        <v>-3.0</v>
      </c>
      <c r="AA18" s="35">
        <v>0.0</v>
      </c>
      <c r="AB18" s="35">
        <v>0.0</v>
      </c>
      <c r="AC18" s="35">
        <v>1.0</v>
      </c>
      <c r="AD18" s="35">
        <v>1.0</v>
      </c>
      <c r="AE18" s="34">
        <f t="shared" si="5"/>
        <v>1</v>
      </c>
      <c r="AF18" s="29">
        <v>-4.0</v>
      </c>
      <c r="AG18" s="35">
        <v>0.0</v>
      </c>
      <c r="AH18" s="35">
        <v>1.0</v>
      </c>
      <c r="AI18" s="35">
        <v>2.0</v>
      </c>
      <c r="AJ18" s="35">
        <v>3.0</v>
      </c>
      <c r="AK18" s="34">
        <f t="shared" si="6"/>
        <v>0</v>
      </c>
    </row>
    <row r="19" ht="14.25" customHeight="1">
      <c r="A19" s="29"/>
      <c r="B19" s="35"/>
      <c r="C19" s="33"/>
      <c r="D19" s="21"/>
      <c r="E19" s="24"/>
      <c r="F19" s="33"/>
      <c r="G19" s="34"/>
      <c r="H19" s="29"/>
      <c r="I19" s="35"/>
      <c r="J19" s="35"/>
      <c r="K19" s="33"/>
      <c r="L19" s="33"/>
      <c r="M19" s="26"/>
      <c r="N19" s="27"/>
      <c r="O19" s="29"/>
      <c r="P19" s="35"/>
      <c r="Q19" s="33"/>
      <c r="R19" s="33"/>
      <c r="S19" s="33"/>
      <c r="T19" s="33"/>
      <c r="U19" s="36"/>
      <c r="V19" s="35"/>
      <c r="W19" s="33"/>
      <c r="X19" s="29"/>
      <c r="Y19" s="35"/>
      <c r="Z19" s="35"/>
      <c r="AA19" s="35"/>
      <c r="AB19" s="35"/>
      <c r="AC19" s="35"/>
      <c r="AD19" s="35"/>
      <c r="AE19" s="34">
        <f t="shared" si="5"/>
        <v>0</v>
      </c>
      <c r="AF19" s="29"/>
      <c r="AG19" s="35"/>
      <c r="AH19" s="35"/>
      <c r="AI19" s="35"/>
      <c r="AJ19" s="35"/>
      <c r="AK19" s="34">
        <f t="shared" si="6"/>
        <v>0</v>
      </c>
    </row>
    <row r="20" ht="14.25" customHeight="1">
      <c r="A20" s="29"/>
      <c r="B20" s="35"/>
      <c r="C20" s="33"/>
      <c r="D20" s="35"/>
      <c r="E20" s="24"/>
      <c r="F20" s="33"/>
      <c r="G20" s="34"/>
      <c r="H20" s="29"/>
      <c r="I20" s="35"/>
      <c r="J20" s="35"/>
      <c r="K20" s="33"/>
      <c r="L20" s="33"/>
      <c r="M20" s="26"/>
      <c r="N20" s="27"/>
      <c r="O20" s="29"/>
      <c r="P20" s="35"/>
      <c r="Q20" s="33"/>
      <c r="R20" s="33"/>
      <c r="S20" s="33"/>
      <c r="T20" s="33"/>
      <c r="U20" s="36"/>
      <c r="V20" s="35"/>
      <c r="W20" s="33"/>
      <c r="X20" s="29"/>
      <c r="Y20" s="35"/>
      <c r="Z20" s="35"/>
      <c r="AA20" s="35"/>
      <c r="AB20" s="35"/>
      <c r="AC20" s="35"/>
      <c r="AD20" s="35"/>
      <c r="AE20" s="34">
        <f t="shared" si="5"/>
        <v>0</v>
      </c>
      <c r="AF20" s="29"/>
      <c r="AG20" s="35"/>
      <c r="AH20" s="35"/>
      <c r="AI20" s="35"/>
      <c r="AJ20" s="35"/>
      <c r="AK20" s="34">
        <f t="shared" si="6"/>
        <v>0</v>
      </c>
    </row>
    <row r="21" ht="14.25" customHeight="1">
      <c r="A21" s="29"/>
      <c r="B21" s="35"/>
      <c r="C21" s="35"/>
      <c r="D21" s="35"/>
      <c r="E21" s="33"/>
      <c r="F21" s="33"/>
      <c r="G21" s="34"/>
      <c r="H21" s="29"/>
      <c r="I21" s="35"/>
      <c r="J21" s="35"/>
      <c r="K21" s="33"/>
      <c r="L21" s="33"/>
      <c r="M21" s="34"/>
      <c r="N21" s="24"/>
      <c r="O21" s="29"/>
      <c r="P21" s="35"/>
      <c r="Q21" s="33"/>
      <c r="R21" s="33"/>
      <c r="S21" s="33"/>
      <c r="T21" s="33"/>
      <c r="U21" s="36"/>
      <c r="V21" s="35"/>
      <c r="W21" s="33"/>
      <c r="X21" s="13"/>
      <c r="Y21" s="14"/>
      <c r="Z21" s="14"/>
      <c r="AA21" s="14"/>
      <c r="AB21" s="14"/>
      <c r="AC21" s="14"/>
      <c r="AD21" s="14"/>
      <c r="AE21" s="17">
        <f t="shared" si="5"/>
        <v>0</v>
      </c>
      <c r="AF21" s="13"/>
      <c r="AG21" s="14"/>
      <c r="AH21" s="14"/>
      <c r="AI21" s="14"/>
      <c r="AJ21" s="14"/>
      <c r="AK21" s="17"/>
    </row>
    <row r="22" ht="14.25" customHeight="1">
      <c r="A22" s="29"/>
      <c r="B22" s="35"/>
      <c r="C22" s="35"/>
      <c r="D22" s="35"/>
      <c r="E22" s="33"/>
      <c r="F22" s="33"/>
      <c r="G22" s="34"/>
      <c r="H22" s="29"/>
      <c r="I22" s="35"/>
      <c r="J22" s="35"/>
      <c r="K22" s="33"/>
      <c r="L22" s="33"/>
      <c r="M22" s="34"/>
      <c r="N22" s="24"/>
      <c r="O22" s="29"/>
      <c r="P22" s="35"/>
      <c r="Q22" s="33"/>
      <c r="R22" s="33"/>
      <c r="S22" s="33"/>
      <c r="T22" s="33"/>
      <c r="U22" s="36"/>
      <c r="V22" s="35"/>
      <c r="W22" s="35"/>
    </row>
    <row r="23" ht="14.25" customHeight="1">
      <c r="A23" s="29"/>
      <c r="B23" s="35"/>
      <c r="C23" s="35"/>
      <c r="D23" s="35"/>
      <c r="E23" s="33"/>
      <c r="F23" s="33"/>
      <c r="G23" s="34"/>
      <c r="H23" s="29"/>
      <c r="I23" s="35"/>
      <c r="J23" s="35"/>
      <c r="K23" s="33"/>
      <c r="L23" s="33"/>
      <c r="M23" s="34"/>
      <c r="N23" s="24"/>
      <c r="O23" s="29"/>
      <c r="P23" s="35"/>
      <c r="Q23" s="33"/>
      <c r="R23" s="33"/>
      <c r="S23" s="33"/>
      <c r="T23" s="33"/>
      <c r="U23" s="36"/>
      <c r="V23" s="35"/>
      <c r="W23" s="35"/>
    </row>
    <row r="24" ht="14.25" customHeight="1">
      <c r="A24" s="29"/>
      <c r="B24" s="35"/>
      <c r="C24" s="35"/>
      <c r="D24" s="35"/>
      <c r="E24" s="33"/>
      <c r="F24" s="33"/>
      <c r="G24" s="34"/>
      <c r="H24" s="29"/>
      <c r="I24" s="35"/>
      <c r="J24" s="35"/>
      <c r="K24" s="33"/>
      <c r="L24" s="33"/>
      <c r="M24" s="34"/>
      <c r="N24" s="24"/>
      <c r="O24" s="29"/>
      <c r="P24" s="35"/>
      <c r="Q24" s="33"/>
      <c r="R24" s="33"/>
      <c r="S24" s="33"/>
      <c r="T24" s="33"/>
      <c r="U24" s="36"/>
      <c r="V24" s="35"/>
      <c r="W24" s="35"/>
    </row>
    <row r="25" ht="14.25" customHeight="1">
      <c r="A25" s="29"/>
      <c r="B25" s="35"/>
      <c r="C25" s="35"/>
      <c r="D25" s="35"/>
      <c r="E25" s="33"/>
      <c r="F25" s="33"/>
      <c r="G25" s="34"/>
      <c r="H25" s="29"/>
      <c r="I25" s="35"/>
      <c r="J25" s="35"/>
      <c r="K25" s="33"/>
      <c r="L25" s="33"/>
      <c r="M25" s="34"/>
      <c r="N25" s="24"/>
      <c r="O25" s="29"/>
      <c r="P25" s="35"/>
      <c r="Q25" s="33"/>
      <c r="R25" s="33"/>
      <c r="S25" s="33"/>
      <c r="T25" s="33"/>
      <c r="U25" s="36"/>
      <c r="V25" s="35"/>
      <c r="W25" s="35"/>
    </row>
    <row r="26" ht="14.25" customHeight="1">
      <c r="A26" s="29"/>
      <c r="B26" s="35"/>
      <c r="C26" s="35"/>
      <c r="D26" s="35"/>
      <c r="E26" s="33"/>
      <c r="F26" s="33"/>
      <c r="G26" s="34"/>
      <c r="H26" s="29"/>
      <c r="I26" s="35"/>
      <c r="J26" s="35"/>
      <c r="K26" s="33"/>
      <c r="L26" s="33"/>
      <c r="M26" s="34"/>
      <c r="N26" s="24"/>
      <c r="O26" s="29"/>
      <c r="P26" s="35"/>
      <c r="Q26" s="33"/>
      <c r="R26" s="33"/>
      <c r="S26" s="33"/>
      <c r="T26" s="33"/>
      <c r="U26" s="36"/>
      <c r="V26" s="35"/>
      <c r="W26" s="35"/>
    </row>
    <row r="27" ht="14.25" customHeight="1">
      <c r="A27" s="29"/>
      <c r="B27" s="35"/>
      <c r="C27" s="35"/>
      <c r="D27" s="35"/>
      <c r="E27" s="33"/>
      <c r="F27" s="33"/>
      <c r="G27" s="34"/>
      <c r="H27" s="29"/>
      <c r="I27" s="35"/>
      <c r="J27" s="35"/>
      <c r="K27" s="33"/>
      <c r="L27" s="33"/>
      <c r="M27" s="34"/>
      <c r="N27" s="24"/>
      <c r="O27" s="29"/>
      <c r="P27" s="35"/>
      <c r="Q27" s="33"/>
      <c r="R27" s="33"/>
      <c r="S27" s="33"/>
      <c r="T27" s="33"/>
      <c r="U27" s="36"/>
      <c r="V27" s="35"/>
      <c r="W27" s="35"/>
    </row>
    <row r="28" ht="14.25" customHeight="1">
      <c r="A28" s="29"/>
      <c r="B28" s="35"/>
      <c r="C28" s="35"/>
      <c r="D28" s="35"/>
      <c r="E28" s="33"/>
      <c r="F28" s="33"/>
      <c r="G28" s="34"/>
      <c r="H28" s="29"/>
      <c r="I28" s="35"/>
      <c r="J28" s="35"/>
      <c r="K28" s="33"/>
      <c r="L28" s="33"/>
      <c r="M28" s="34"/>
      <c r="N28" s="24"/>
      <c r="O28" s="29"/>
      <c r="P28" s="35"/>
      <c r="Q28" s="33"/>
      <c r="R28" s="33"/>
      <c r="S28" s="33"/>
      <c r="T28" s="33"/>
      <c r="U28" s="36"/>
      <c r="V28" s="35"/>
      <c r="W28" s="35"/>
    </row>
    <row r="29" ht="14.25" customHeight="1">
      <c r="A29" s="29"/>
      <c r="B29" s="35"/>
      <c r="C29" s="35"/>
      <c r="D29" s="35"/>
      <c r="E29" s="33"/>
      <c r="F29" s="33"/>
      <c r="G29" s="34"/>
      <c r="H29" s="29"/>
      <c r="I29" s="35"/>
      <c r="J29" s="35"/>
      <c r="K29" s="33"/>
      <c r="L29" s="33"/>
      <c r="M29" s="34"/>
      <c r="N29" s="24"/>
      <c r="O29" s="29"/>
      <c r="P29" s="35"/>
      <c r="Q29" s="33"/>
      <c r="R29" s="33"/>
      <c r="S29" s="33"/>
      <c r="T29" s="33"/>
      <c r="U29" s="36"/>
      <c r="V29" s="35"/>
      <c r="W29" s="35"/>
    </row>
    <row r="30" ht="14.25" customHeight="1">
      <c r="A30" s="29"/>
      <c r="B30" s="35"/>
      <c r="C30" s="35"/>
      <c r="D30" s="35"/>
      <c r="E30" s="33"/>
      <c r="F30" s="33"/>
      <c r="G30" s="34"/>
      <c r="H30" s="29"/>
      <c r="I30" s="35"/>
      <c r="J30" s="35"/>
      <c r="K30" s="33"/>
      <c r="L30" s="33"/>
      <c r="M30" s="34"/>
      <c r="N30" s="24"/>
      <c r="O30" s="29"/>
      <c r="P30" s="35"/>
      <c r="Q30" s="33"/>
      <c r="R30" s="33"/>
      <c r="S30" s="33"/>
      <c r="T30" s="33"/>
      <c r="U30" s="36"/>
      <c r="V30" s="35"/>
      <c r="W30" s="35"/>
    </row>
    <row r="31" ht="14.25" customHeight="1">
      <c r="A31" s="29"/>
      <c r="B31" s="35"/>
      <c r="C31" s="35"/>
      <c r="D31" s="35"/>
      <c r="E31" s="33"/>
      <c r="F31" s="33"/>
      <c r="G31" s="34"/>
      <c r="H31" s="29"/>
      <c r="I31" s="35"/>
      <c r="J31" s="35"/>
      <c r="K31" s="33"/>
      <c r="L31" s="33"/>
      <c r="M31" s="34"/>
      <c r="N31" s="24"/>
      <c r="O31" s="29"/>
      <c r="P31" s="35"/>
      <c r="Q31" s="33"/>
      <c r="R31" s="33"/>
      <c r="S31" s="33"/>
      <c r="T31" s="33"/>
      <c r="U31" s="36"/>
      <c r="V31" s="35"/>
      <c r="W31" s="35"/>
    </row>
    <row r="32" ht="14.25" customHeight="1">
      <c r="A32" s="29"/>
      <c r="B32" s="35"/>
      <c r="C32" s="35"/>
      <c r="D32" s="35"/>
      <c r="E32" s="33"/>
      <c r="F32" s="33"/>
      <c r="G32" s="34"/>
      <c r="H32" s="29"/>
      <c r="I32" s="35"/>
      <c r="J32" s="35"/>
      <c r="K32" s="33"/>
      <c r="L32" s="33"/>
      <c r="M32" s="34"/>
      <c r="N32" s="24"/>
      <c r="O32" s="29"/>
      <c r="P32" s="35"/>
      <c r="Q32" s="33"/>
      <c r="R32" s="33"/>
      <c r="S32" s="33"/>
      <c r="T32" s="33"/>
      <c r="U32" s="36"/>
      <c r="V32" s="35"/>
      <c r="W32" s="35"/>
    </row>
    <row r="33" ht="14.25" customHeight="1">
      <c r="A33" s="29"/>
      <c r="B33" s="35"/>
      <c r="C33" s="35"/>
      <c r="D33" s="35"/>
      <c r="E33" s="33"/>
      <c r="F33" s="33"/>
      <c r="G33" s="34"/>
      <c r="H33" s="29"/>
      <c r="I33" s="35"/>
      <c r="J33" s="35"/>
      <c r="K33" s="33"/>
      <c r="L33" s="33"/>
      <c r="M33" s="34"/>
      <c r="N33" s="24"/>
      <c r="O33" s="29"/>
      <c r="P33" s="35"/>
      <c r="Q33" s="33"/>
      <c r="R33" s="33"/>
      <c r="S33" s="33"/>
      <c r="T33" s="33"/>
      <c r="U33" s="36"/>
      <c r="V33" s="35"/>
      <c r="W33" s="35"/>
    </row>
    <row r="34" ht="14.25" customHeight="1">
      <c r="A34" s="29"/>
      <c r="B34" s="35"/>
      <c r="C34" s="35"/>
      <c r="D34" s="35"/>
      <c r="E34" s="33"/>
      <c r="F34" s="33"/>
      <c r="G34" s="34"/>
      <c r="H34" s="29"/>
      <c r="I34" s="35"/>
      <c r="J34" s="35"/>
      <c r="K34" s="33"/>
      <c r="L34" s="33"/>
      <c r="M34" s="34"/>
      <c r="N34" s="24"/>
      <c r="O34" s="29"/>
      <c r="P34" s="35"/>
      <c r="Q34" s="33"/>
      <c r="R34" s="33"/>
      <c r="S34" s="33"/>
      <c r="T34" s="33"/>
      <c r="U34" s="36"/>
      <c r="V34" s="35"/>
      <c r="W34" s="35"/>
    </row>
    <row r="35" ht="14.25" customHeight="1">
      <c r="A35" s="29"/>
      <c r="B35" s="35"/>
      <c r="C35" s="35"/>
      <c r="D35" s="35"/>
      <c r="E35" s="33"/>
      <c r="F35" s="33"/>
      <c r="G35" s="34"/>
      <c r="H35" s="29"/>
      <c r="I35" s="35"/>
      <c r="J35" s="35"/>
      <c r="K35" s="33"/>
      <c r="L35" s="33"/>
      <c r="M35" s="34"/>
      <c r="N35" s="24"/>
      <c r="O35" s="29"/>
      <c r="P35" s="35"/>
      <c r="Q35" s="33"/>
      <c r="R35" s="33"/>
      <c r="S35" s="33"/>
      <c r="T35" s="33"/>
      <c r="U35" s="36"/>
      <c r="V35" s="35"/>
      <c r="W35" s="35"/>
    </row>
    <row r="36" ht="14.25" customHeight="1">
      <c r="A36" s="29"/>
      <c r="B36" s="35"/>
      <c r="C36" s="35"/>
      <c r="D36" s="35"/>
      <c r="E36" s="33"/>
      <c r="F36" s="33"/>
      <c r="G36" s="34"/>
      <c r="H36" s="29"/>
      <c r="I36" s="35"/>
      <c r="J36" s="35"/>
      <c r="K36" s="33"/>
      <c r="L36" s="33"/>
      <c r="M36" s="34"/>
      <c r="N36" s="24"/>
      <c r="O36" s="29"/>
      <c r="P36" s="35"/>
      <c r="Q36" s="33"/>
      <c r="R36" s="33"/>
      <c r="S36" s="33"/>
      <c r="T36" s="33"/>
      <c r="U36" s="36"/>
      <c r="V36" s="35"/>
      <c r="W36" s="35"/>
    </row>
    <row r="37" ht="14.25" customHeight="1">
      <c r="A37" s="29"/>
      <c r="B37" s="35"/>
      <c r="C37" s="35"/>
      <c r="D37" s="35"/>
      <c r="E37" s="33"/>
      <c r="F37" s="33"/>
      <c r="G37" s="34"/>
      <c r="H37" s="29"/>
      <c r="I37" s="35"/>
      <c r="J37" s="35"/>
      <c r="K37" s="33"/>
      <c r="L37" s="33"/>
      <c r="M37" s="34"/>
      <c r="N37" s="24"/>
      <c r="O37" s="29"/>
      <c r="P37" s="35"/>
      <c r="Q37" s="33"/>
      <c r="R37" s="33"/>
      <c r="S37" s="33"/>
      <c r="T37" s="33"/>
      <c r="U37" s="36"/>
      <c r="V37" s="35"/>
      <c r="W37" s="35"/>
    </row>
    <row r="38" ht="14.25" customHeight="1">
      <c r="A38" s="29"/>
      <c r="B38" s="35"/>
      <c r="C38" s="35"/>
      <c r="D38" s="35"/>
      <c r="E38" s="33"/>
      <c r="F38" s="33"/>
      <c r="G38" s="34"/>
      <c r="H38" s="29"/>
      <c r="I38" s="35"/>
      <c r="J38" s="35"/>
      <c r="K38" s="33"/>
      <c r="L38" s="33"/>
      <c r="M38" s="34"/>
      <c r="N38" s="24"/>
      <c r="O38" s="29"/>
      <c r="P38" s="35"/>
      <c r="Q38" s="33"/>
      <c r="R38" s="33"/>
      <c r="S38" s="33"/>
      <c r="T38" s="33"/>
      <c r="U38" s="36"/>
      <c r="V38" s="35"/>
      <c r="W38" s="35"/>
    </row>
    <row r="39" ht="14.25" customHeight="1">
      <c r="A39" s="29"/>
      <c r="B39" s="35"/>
      <c r="C39" s="35"/>
      <c r="D39" s="35"/>
      <c r="E39" s="33"/>
      <c r="F39" s="33"/>
      <c r="G39" s="34"/>
      <c r="H39" s="29"/>
      <c r="I39" s="35"/>
      <c r="J39" s="35"/>
      <c r="K39" s="33"/>
      <c r="L39" s="33"/>
      <c r="M39" s="34"/>
      <c r="N39" s="24"/>
      <c r="O39" s="29"/>
      <c r="P39" s="35"/>
      <c r="Q39" s="33"/>
      <c r="R39" s="33"/>
      <c r="S39" s="33"/>
      <c r="T39" s="33"/>
      <c r="U39" s="36"/>
      <c r="V39" s="35"/>
      <c r="W39" s="35"/>
    </row>
    <row r="40" ht="14.25" customHeight="1">
      <c r="A40" s="29"/>
      <c r="B40" s="35"/>
      <c r="C40" s="35"/>
      <c r="D40" s="35"/>
      <c r="E40" s="33"/>
      <c r="F40" s="33"/>
      <c r="G40" s="34"/>
      <c r="H40" s="29"/>
      <c r="I40" s="35"/>
      <c r="J40" s="35"/>
      <c r="K40" s="33"/>
      <c r="L40" s="33"/>
      <c r="M40" s="34"/>
      <c r="N40" s="24"/>
      <c r="O40" s="29"/>
      <c r="P40" s="35"/>
      <c r="Q40" s="33"/>
      <c r="R40" s="33"/>
      <c r="S40" s="33"/>
      <c r="T40" s="33"/>
      <c r="U40" s="36"/>
      <c r="V40" s="35"/>
      <c r="W40" s="35"/>
    </row>
    <row r="41" ht="14.25" customHeight="1">
      <c r="A41" s="29"/>
      <c r="B41" s="35"/>
      <c r="C41" s="35"/>
      <c r="D41" s="35"/>
      <c r="E41" s="33"/>
      <c r="F41" s="33"/>
      <c r="G41" s="34"/>
      <c r="H41" s="29"/>
      <c r="I41" s="35"/>
      <c r="J41" s="35"/>
      <c r="K41" s="33"/>
      <c r="L41" s="33"/>
      <c r="M41" s="34"/>
      <c r="N41" s="24"/>
      <c r="O41" s="29"/>
      <c r="P41" s="35"/>
      <c r="Q41" s="33"/>
      <c r="R41" s="33"/>
      <c r="S41" s="33"/>
      <c r="T41" s="33"/>
      <c r="U41" s="36"/>
      <c r="V41" s="35"/>
      <c r="W41" s="35"/>
    </row>
    <row r="42" ht="14.25" customHeight="1">
      <c r="A42" s="29"/>
      <c r="B42" s="35"/>
      <c r="C42" s="35"/>
      <c r="D42" s="35"/>
      <c r="E42" s="33"/>
      <c r="F42" s="33"/>
      <c r="G42" s="34"/>
      <c r="H42" s="29"/>
      <c r="I42" s="35"/>
      <c r="J42" s="35"/>
      <c r="K42" s="33"/>
      <c r="L42" s="33"/>
      <c r="M42" s="34"/>
      <c r="N42" s="24"/>
      <c r="O42" s="29"/>
      <c r="P42" s="35"/>
      <c r="Q42" s="33"/>
      <c r="R42" s="33"/>
      <c r="S42" s="33"/>
      <c r="T42" s="33"/>
      <c r="U42" s="36"/>
      <c r="V42" s="35"/>
      <c r="W42" s="35"/>
    </row>
    <row r="43" ht="14.25" customHeight="1">
      <c r="A43" s="29"/>
      <c r="B43" s="35"/>
      <c r="C43" s="35"/>
      <c r="D43" s="35"/>
      <c r="E43" s="33"/>
      <c r="F43" s="33"/>
      <c r="G43" s="34"/>
      <c r="H43" s="29"/>
      <c r="I43" s="35"/>
      <c r="J43" s="35"/>
      <c r="K43" s="33"/>
      <c r="L43" s="33"/>
      <c r="M43" s="34"/>
      <c r="N43" s="24"/>
      <c r="O43" s="29"/>
      <c r="P43" s="35"/>
      <c r="Q43" s="33"/>
      <c r="R43" s="33"/>
      <c r="S43" s="33"/>
      <c r="T43" s="33"/>
      <c r="U43" s="36"/>
      <c r="V43" s="35"/>
      <c r="W43" s="35"/>
    </row>
    <row r="44" ht="14.25" customHeight="1">
      <c r="A44" s="29"/>
      <c r="B44" s="35"/>
      <c r="C44" s="35"/>
      <c r="D44" s="35"/>
      <c r="E44" s="33"/>
      <c r="F44" s="33"/>
      <c r="G44" s="34"/>
      <c r="H44" s="29"/>
      <c r="I44" s="35"/>
      <c r="J44" s="35"/>
      <c r="K44" s="33"/>
      <c r="L44" s="33"/>
      <c r="M44" s="34"/>
      <c r="N44" s="24"/>
      <c r="O44" s="29"/>
      <c r="P44" s="35"/>
      <c r="Q44" s="33"/>
      <c r="R44" s="33"/>
      <c r="S44" s="33"/>
      <c r="T44" s="33"/>
      <c r="U44" s="36"/>
      <c r="V44" s="35"/>
      <c r="W44" s="35"/>
    </row>
    <row r="45" ht="14.25" customHeight="1">
      <c r="A45" s="29"/>
      <c r="B45" s="35"/>
      <c r="C45" s="35"/>
      <c r="D45" s="35"/>
      <c r="E45" s="33"/>
      <c r="F45" s="33"/>
      <c r="G45" s="34"/>
      <c r="H45" s="29"/>
      <c r="I45" s="35"/>
      <c r="J45" s="35"/>
      <c r="K45" s="33"/>
      <c r="L45" s="33"/>
      <c r="M45" s="34"/>
      <c r="N45" s="24"/>
      <c r="O45" s="29"/>
      <c r="P45" s="35"/>
      <c r="Q45" s="33"/>
      <c r="R45" s="33"/>
      <c r="S45" s="33"/>
      <c r="T45" s="33"/>
      <c r="U45" s="36"/>
      <c r="V45" s="35"/>
      <c r="W45" s="35"/>
    </row>
    <row r="46" ht="14.25" customHeight="1">
      <c r="A46" s="29"/>
      <c r="B46" s="35"/>
      <c r="C46" s="35"/>
      <c r="D46" s="35"/>
      <c r="E46" s="33"/>
      <c r="F46" s="33"/>
      <c r="G46" s="34"/>
      <c r="H46" s="29"/>
      <c r="I46" s="35"/>
      <c r="J46" s="35"/>
      <c r="K46" s="33"/>
      <c r="L46" s="33"/>
      <c r="M46" s="34"/>
      <c r="N46" s="24"/>
      <c r="O46" s="29"/>
      <c r="P46" s="35"/>
      <c r="Q46" s="33"/>
      <c r="R46" s="33"/>
      <c r="S46" s="33"/>
      <c r="T46" s="33"/>
      <c r="U46" s="36"/>
      <c r="V46" s="35"/>
      <c r="W46" s="35"/>
    </row>
    <row r="47" ht="14.25" customHeight="1">
      <c r="A47" s="29"/>
      <c r="B47" s="35"/>
      <c r="C47" s="35"/>
      <c r="D47" s="35"/>
      <c r="E47" s="33"/>
      <c r="F47" s="33"/>
      <c r="G47" s="34"/>
      <c r="H47" s="29"/>
      <c r="I47" s="35"/>
      <c r="J47" s="35"/>
      <c r="K47" s="33"/>
      <c r="L47" s="33"/>
      <c r="M47" s="34"/>
      <c r="N47" s="24"/>
      <c r="O47" s="29"/>
      <c r="P47" s="35"/>
      <c r="Q47" s="33"/>
      <c r="R47" s="33"/>
      <c r="S47" s="33"/>
      <c r="T47" s="33"/>
      <c r="U47" s="36"/>
      <c r="V47" s="35"/>
      <c r="W47" s="35"/>
    </row>
    <row r="48" ht="14.25" customHeight="1">
      <c r="A48" s="29"/>
      <c r="B48" s="35"/>
      <c r="C48" s="35"/>
      <c r="D48" s="35"/>
      <c r="E48" s="33"/>
      <c r="F48" s="33"/>
      <c r="G48" s="34"/>
      <c r="H48" s="29"/>
      <c r="I48" s="35"/>
      <c r="J48" s="35"/>
      <c r="K48" s="33"/>
      <c r="L48" s="33"/>
      <c r="M48" s="34"/>
      <c r="N48" s="24"/>
      <c r="O48" s="29"/>
      <c r="P48" s="35"/>
      <c r="Q48" s="33"/>
      <c r="R48" s="33"/>
      <c r="S48" s="33"/>
      <c r="T48" s="33"/>
      <c r="U48" s="36"/>
      <c r="V48" s="35"/>
      <c r="W48" s="35"/>
    </row>
    <row r="49" ht="14.25" customHeight="1">
      <c r="A49" s="29"/>
      <c r="B49" s="35"/>
      <c r="C49" s="35"/>
      <c r="D49" s="35"/>
      <c r="E49" s="33"/>
      <c r="F49" s="33"/>
      <c r="G49" s="34"/>
      <c r="H49" s="29"/>
      <c r="I49" s="35"/>
      <c r="J49" s="35"/>
      <c r="K49" s="33"/>
      <c r="L49" s="33"/>
      <c r="M49" s="34"/>
      <c r="N49" s="24"/>
      <c r="O49" s="29"/>
      <c r="P49" s="35"/>
      <c r="Q49" s="33"/>
      <c r="R49" s="33"/>
      <c r="S49" s="33"/>
      <c r="T49" s="33"/>
      <c r="U49" s="36"/>
      <c r="V49" s="35"/>
      <c r="W49" s="35"/>
    </row>
    <row r="50" ht="14.25" customHeight="1">
      <c r="A50" s="29"/>
      <c r="B50" s="35"/>
      <c r="C50" s="35"/>
      <c r="D50" s="35"/>
      <c r="E50" s="33"/>
      <c r="F50" s="33"/>
      <c r="G50" s="34"/>
      <c r="H50" s="29"/>
      <c r="I50" s="35"/>
      <c r="J50" s="35"/>
      <c r="K50" s="33"/>
      <c r="L50" s="33"/>
      <c r="M50" s="34"/>
      <c r="N50" s="24"/>
      <c r="O50" s="29"/>
      <c r="P50" s="35"/>
      <c r="Q50" s="33"/>
      <c r="R50" s="33"/>
      <c r="S50" s="33"/>
      <c r="T50" s="33"/>
      <c r="U50" s="36"/>
      <c r="V50" s="35"/>
      <c r="W50" s="35"/>
    </row>
    <row r="51" ht="14.25" customHeight="1">
      <c r="A51" s="29"/>
      <c r="B51" s="35"/>
      <c r="C51" s="35"/>
      <c r="D51" s="35"/>
      <c r="E51" s="33"/>
      <c r="F51" s="33"/>
      <c r="G51" s="34"/>
      <c r="H51" s="29"/>
      <c r="I51" s="35"/>
      <c r="J51" s="35"/>
      <c r="K51" s="33"/>
      <c r="L51" s="33"/>
      <c r="M51" s="34"/>
      <c r="N51" s="24"/>
      <c r="O51" s="29"/>
      <c r="P51" s="35"/>
      <c r="Q51" s="33"/>
      <c r="R51" s="33"/>
      <c r="S51" s="33"/>
      <c r="T51" s="33"/>
      <c r="U51" s="36"/>
      <c r="V51" s="35"/>
      <c r="W51" s="35"/>
    </row>
    <row r="52" ht="14.25" customHeight="1">
      <c r="A52" s="29"/>
      <c r="B52" s="35"/>
      <c r="C52" s="35"/>
      <c r="D52" s="35"/>
      <c r="E52" s="33"/>
      <c r="F52" s="33"/>
      <c r="G52" s="34"/>
      <c r="H52" s="29"/>
      <c r="I52" s="35"/>
      <c r="J52" s="35"/>
      <c r="K52" s="33"/>
      <c r="L52" s="33"/>
      <c r="M52" s="34"/>
      <c r="N52" s="24"/>
      <c r="O52" s="29"/>
      <c r="P52" s="35"/>
      <c r="Q52" s="33"/>
      <c r="R52" s="33"/>
      <c r="S52" s="33"/>
      <c r="T52" s="33"/>
      <c r="U52" s="36"/>
      <c r="V52" s="35"/>
      <c r="W52" s="35"/>
    </row>
    <row r="53" ht="14.25" customHeight="1">
      <c r="A53" s="29"/>
      <c r="B53" s="35"/>
      <c r="C53" s="35"/>
      <c r="D53" s="35"/>
      <c r="E53" s="33"/>
      <c r="F53" s="33"/>
      <c r="G53" s="34"/>
      <c r="H53" s="29"/>
      <c r="I53" s="35"/>
      <c r="J53" s="35"/>
      <c r="K53" s="33"/>
      <c r="L53" s="33"/>
      <c r="M53" s="34"/>
      <c r="N53" s="24"/>
      <c r="O53" s="29"/>
      <c r="P53" s="35"/>
      <c r="Q53" s="33"/>
      <c r="R53" s="33"/>
      <c r="S53" s="33"/>
      <c r="T53" s="33"/>
      <c r="U53" s="36"/>
      <c r="V53" s="35"/>
      <c r="W53" s="35"/>
    </row>
    <row r="54" ht="14.25" customHeight="1">
      <c r="A54" s="29"/>
      <c r="B54" s="35"/>
      <c r="C54" s="35"/>
      <c r="D54" s="35"/>
      <c r="E54" s="33"/>
      <c r="F54" s="33"/>
      <c r="G54" s="34"/>
      <c r="H54" s="29"/>
      <c r="I54" s="35"/>
      <c r="J54" s="35"/>
      <c r="K54" s="33"/>
      <c r="L54" s="33"/>
      <c r="M54" s="34"/>
      <c r="N54" s="24"/>
      <c r="O54" s="29"/>
      <c r="P54" s="35"/>
      <c r="Q54" s="33"/>
      <c r="R54" s="33"/>
      <c r="S54" s="33"/>
      <c r="T54" s="33"/>
      <c r="U54" s="36"/>
      <c r="V54" s="35"/>
      <c r="W54" s="35"/>
    </row>
    <row r="55" ht="14.25" customHeight="1">
      <c r="A55" s="29"/>
      <c r="B55" s="35"/>
      <c r="C55" s="35"/>
      <c r="D55" s="35"/>
      <c r="E55" s="33"/>
      <c r="F55" s="33"/>
      <c r="G55" s="34"/>
      <c r="H55" s="29"/>
      <c r="I55" s="35"/>
      <c r="J55" s="35"/>
      <c r="K55" s="33"/>
      <c r="L55" s="33"/>
      <c r="M55" s="34"/>
      <c r="N55" s="24"/>
      <c r="O55" s="29"/>
      <c r="P55" s="35"/>
      <c r="Q55" s="33"/>
      <c r="R55" s="33"/>
      <c r="S55" s="33"/>
      <c r="T55" s="33"/>
      <c r="U55" s="36"/>
      <c r="V55" s="35"/>
      <c r="W55" s="35"/>
    </row>
    <row r="56" ht="14.25" customHeight="1">
      <c r="A56" s="29"/>
      <c r="B56" s="35"/>
      <c r="C56" s="35"/>
      <c r="D56" s="35"/>
      <c r="E56" s="33"/>
      <c r="F56" s="33"/>
      <c r="G56" s="34"/>
      <c r="H56" s="29"/>
      <c r="I56" s="35"/>
      <c r="J56" s="35"/>
      <c r="K56" s="33"/>
      <c r="L56" s="33"/>
      <c r="M56" s="34"/>
      <c r="N56" s="24"/>
      <c r="O56" s="29"/>
      <c r="P56" s="35"/>
      <c r="Q56" s="33"/>
      <c r="R56" s="33"/>
      <c r="S56" s="33"/>
      <c r="T56" s="33"/>
      <c r="U56" s="36"/>
      <c r="V56" s="35"/>
      <c r="W56" s="35"/>
    </row>
    <row r="57" ht="14.25" customHeight="1">
      <c r="A57" s="13"/>
      <c r="B57" s="14"/>
      <c r="C57" s="14"/>
      <c r="D57" s="14"/>
      <c r="E57" s="16"/>
      <c r="F57" s="16"/>
      <c r="G57" s="17"/>
      <c r="H57" s="13"/>
      <c r="I57" s="14"/>
      <c r="J57" s="14"/>
      <c r="K57" s="16"/>
      <c r="L57" s="16"/>
      <c r="M57" s="17"/>
      <c r="N57" s="18"/>
      <c r="O57" s="13"/>
      <c r="P57" s="14"/>
      <c r="Q57" s="16"/>
      <c r="R57" s="16"/>
      <c r="S57" s="16"/>
      <c r="T57" s="16"/>
      <c r="U57" s="36"/>
      <c r="V57" s="35"/>
      <c r="W57" s="35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C1:D1"/>
    <mergeCell ref="H3:N3"/>
    <mergeCell ref="O3:R3"/>
    <mergeCell ref="S3:W3"/>
    <mergeCell ref="X3:AE3"/>
    <mergeCell ref="AF3:AK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52</v>
      </c>
      <c r="B1" s="1" t="s">
        <v>53</v>
      </c>
      <c r="C1" s="1" t="s">
        <v>54</v>
      </c>
      <c r="D1" s="1" t="s">
        <v>55</v>
      </c>
    </row>
    <row r="2" ht="14.25" customHeight="1">
      <c r="A2" s="39">
        <f t="shared" ref="A2:A4" si="1">B2/C2/((D2/2)^2*PI())/10000</f>
        <v>516178193811552</v>
      </c>
      <c r="B2" s="1">
        <v>150.0</v>
      </c>
      <c r="C2" s="39">
        <v>3.7E-9</v>
      </c>
      <c r="D2" s="39">
        <v>1.0E-4</v>
      </c>
    </row>
    <row r="3" ht="14.25" customHeight="1">
      <c r="A3" s="39">
        <f t="shared" si="1"/>
        <v>344118795874368</v>
      </c>
      <c r="B3" s="1">
        <v>100.0</v>
      </c>
      <c r="C3" s="39">
        <v>3.7E-9</v>
      </c>
      <c r="D3" s="39">
        <v>1.0E-4</v>
      </c>
    </row>
    <row r="4" ht="14.25" customHeight="1">
      <c r="A4" s="39">
        <f t="shared" si="1"/>
        <v>477942772047734</v>
      </c>
      <c r="B4" s="1">
        <v>50.0</v>
      </c>
      <c r="C4" s="39">
        <v>3.7E-9</v>
      </c>
      <c r="D4" s="39">
        <v>6.0E-5</v>
      </c>
    </row>
    <row r="5" ht="14.25" customHeight="1">
      <c r="A5" s="39"/>
    </row>
    <row r="6" ht="14.25" customHeight="1">
      <c r="A6" s="39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2021-08-03T15:27:03Z</dcterms:created>
  <dc:creator>Tubman, Eleanor Rose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0x010100731612A1FB05804DB88EAA7C3E5E3B79</vt:lpwstr>
  </property>
</Properties>
</file>